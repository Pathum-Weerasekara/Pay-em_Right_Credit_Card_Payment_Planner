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hu\OneDrive\Desktop\"/>
    </mc:Choice>
  </mc:AlternateContent>
  <xr:revisionPtr revIDLastSave="0" documentId="13_ncr:1_{C767B490-2783-4499-970A-5B371BA17019}" xr6:coauthVersionLast="47" xr6:coauthVersionMax="47" xr10:uidLastSave="{00000000-0000-0000-0000-000000000000}"/>
  <bookViews>
    <workbookView xWindow="-120" yWindow="-120" windowWidth="29040" windowHeight="15720" xr2:uid="{20F4F91F-1538-437C-8EAF-B4E4DFE30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 s="1"/>
  <c r="D3" i="1"/>
  <c r="C3" i="1" s="1"/>
  <c r="D26" i="1"/>
  <c r="B3" i="1"/>
  <c r="B4" i="1"/>
  <c r="B5" i="1" l="1"/>
</calcChain>
</file>

<file path=xl/sharedStrings.xml><?xml version="1.0" encoding="utf-8"?>
<sst xmlns="http://schemas.openxmlformats.org/spreadsheetml/2006/main" count="52" uniqueCount="33">
  <si>
    <t>Ramesha</t>
  </si>
  <si>
    <t>Pathum</t>
  </si>
  <si>
    <t>Western U</t>
  </si>
  <si>
    <t>Acc - 7533</t>
  </si>
  <si>
    <t>Acc - 4134</t>
  </si>
  <si>
    <t>Citi</t>
  </si>
  <si>
    <t>Discover</t>
  </si>
  <si>
    <t>Old Navy</t>
  </si>
  <si>
    <t>Loans</t>
  </si>
  <si>
    <t>For the Current Month</t>
  </si>
  <si>
    <t>Amazon Card</t>
  </si>
  <si>
    <t>Mission Lane</t>
  </si>
  <si>
    <t>Capital One Pathum</t>
  </si>
  <si>
    <t>Amex Ramesha</t>
  </si>
  <si>
    <t>Amex Pathum</t>
  </si>
  <si>
    <t>Capital One Savor</t>
  </si>
  <si>
    <t>Capital One Silver</t>
  </si>
  <si>
    <t>Fortiva</t>
  </si>
  <si>
    <t>Total</t>
  </si>
  <si>
    <t>Total for Month</t>
  </si>
  <si>
    <t>After Settling Current Month</t>
  </si>
  <si>
    <t>To Pay Total</t>
  </si>
  <si>
    <t>Apartment Rent</t>
  </si>
  <si>
    <t>Pay For the Month</t>
  </si>
  <si>
    <t>Total Spent For the Month</t>
  </si>
  <si>
    <t>Best Buy Card</t>
  </si>
  <si>
    <t>Wallgreens Card</t>
  </si>
  <si>
    <t>Done</t>
  </si>
  <si>
    <t>EoM Balance</t>
  </si>
  <si>
    <t>Balance After Payments</t>
  </si>
  <si>
    <t>Auto - Ramesha</t>
  </si>
  <si>
    <t>Man - Pathum</t>
  </si>
  <si>
    <t>Man - Ramesha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</si>
</sst>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1" fillId="6" borderId="0" applyNumberFormat="0" applyBorder="0" applyAlignment="0" applyProtection="0"/>
  </cellStyleXfs>
  <cellXfs count="55">
    <xf numFmtId="0" fontId="0" fillId="0" borderId="0" xfId="0"/>
    <xf numFmtId="44" fontId="0" fillId="0" borderId="0" xfId="1" applyFont="1"/>
    <xf numFmtId="0" fontId="0" fillId="0" borderId="0" xfId="0" applyAlignment="1">
      <alignment horizontal="center" vertical="center"/>
    </xf>
    <xf numFmtId="44" fontId="2" fillId="2" borderId="0" xfId="2" applyNumberFormat="1"/>
    <xf numFmtId="0" fontId="2" fillId="2" borderId="0" xfId="2" applyAlignment="1">
      <alignment horizontal="right"/>
    </xf>
    <xf numFmtId="0" fontId="4" fillId="4" borderId="7" xfId="4" applyBorder="1" applyAlignment="1">
      <alignment horizontal="right"/>
    </xf>
    <xf numFmtId="44" fontId="4" fillId="4" borderId="6" xfId="4" applyNumberFormat="1" applyBorder="1"/>
    <xf numFmtId="0" fontId="5" fillId="0" borderId="0" xfId="0" applyFont="1"/>
    <xf numFmtId="44" fontId="1" fillId="0" borderId="0" xfId="1" applyFont="1"/>
    <xf numFmtId="0" fontId="1" fillId="0" borderId="0" xfId="0" applyFont="1"/>
    <xf numFmtId="44" fontId="1" fillId="0" borderId="0" xfId="1" applyFont="1" applyBorder="1"/>
    <xf numFmtId="44" fontId="1" fillId="0" borderId="0" xfId="1" applyFont="1" applyFill="1" applyBorder="1"/>
    <xf numFmtId="44" fontId="0" fillId="0" borderId="0" xfId="1" applyFont="1" applyBorder="1"/>
    <xf numFmtId="0" fontId="0" fillId="0" borderId="0" xfId="0" applyAlignment="1">
      <alignment horizontal="center" vertical="center" wrapText="1"/>
    </xf>
    <xf numFmtId="0" fontId="0" fillId="7" borderId="0" xfId="0" applyFill="1"/>
    <xf numFmtId="0" fontId="0" fillId="0" borderId="0" xfId="6" applyFont="1" applyFill="1" applyBorder="1"/>
    <xf numFmtId="44" fontId="0" fillId="0" borderId="0" xfId="6" applyNumberFormat="1" applyFont="1" applyFill="1" applyBorder="1" applyAlignment="1">
      <alignment horizontal="left"/>
    </xf>
    <xf numFmtId="44" fontId="0" fillId="0" borderId="0" xfId="1" applyFont="1" applyBorder="1" applyAlignment="1">
      <alignment horizontal="left"/>
    </xf>
    <xf numFmtId="0" fontId="3" fillId="3" borderId="8" xfId="3" applyBorder="1" applyAlignment="1">
      <alignment horizontal="right"/>
    </xf>
    <xf numFmtId="0" fontId="3" fillId="3" borderId="8" xfId="3" applyBorder="1"/>
    <xf numFmtId="44" fontId="3" fillId="3" borderId="8" xfId="3" applyNumberFormat="1" applyBorder="1"/>
    <xf numFmtId="44" fontId="4" fillId="4" borderId="0" xfId="4" applyNumberFormat="1" applyBorder="1"/>
    <xf numFmtId="44" fontId="0" fillId="7" borderId="0" xfId="1" applyFont="1" applyFill="1"/>
    <xf numFmtId="0" fontId="0" fillId="8" borderId="0" xfId="0" applyFill="1"/>
    <xf numFmtId="44" fontId="0" fillId="8" borderId="0" xfId="1" applyFont="1" applyFill="1"/>
    <xf numFmtId="0" fontId="0" fillId="8" borderId="0" xfId="6" applyFont="1" applyFill="1" applyBorder="1"/>
    <xf numFmtId="44" fontId="0" fillId="8" borderId="0" xfId="6" applyNumberFormat="1" applyFont="1" applyFill="1" applyBorder="1"/>
    <xf numFmtId="44" fontId="0" fillId="8" borderId="0" xfId="1" applyFont="1" applyFill="1" applyBorder="1" applyAlignment="1">
      <alignment horizontal="left"/>
    </xf>
    <xf numFmtId="44" fontId="0" fillId="0" borderId="0" xfId="1" applyFont="1" applyAlignment="1">
      <alignment horizontal="center" vertical="center"/>
    </xf>
    <xf numFmtId="44" fontId="0" fillId="7" borderId="0" xfId="1" applyFont="1" applyFill="1" applyBorder="1" applyAlignment="1">
      <alignment horizontal="left"/>
    </xf>
    <xf numFmtId="44" fontId="0" fillId="8" borderId="0" xfId="6" applyNumberFormat="1" applyFont="1" applyFill="1" applyBorder="1" applyAlignment="1">
      <alignment horizontal="left"/>
    </xf>
    <xf numFmtId="44" fontId="0" fillId="8" borderId="0" xfId="6" applyNumberFormat="1" applyFont="1" applyFill="1" applyBorder="1" applyAlignment="1">
      <alignment horizontal="left" vertical="center"/>
    </xf>
    <xf numFmtId="0" fontId="0" fillId="8" borderId="0" xfId="6" applyFont="1" applyFill="1" applyBorder="1" applyAlignment="1">
      <alignment horizontal="left" vertical="center"/>
    </xf>
    <xf numFmtId="44" fontId="0" fillId="0" borderId="0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4" fontId="0" fillId="0" borderId="0" xfId="6" applyNumberFormat="1" applyFont="1" applyFill="1" applyBorder="1" applyAlignment="1">
      <alignment horizontal="left" vertical="center"/>
    </xf>
    <xf numFmtId="0" fontId="0" fillId="0" borderId="0" xfId="6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44" fontId="6" fillId="0" borderId="0" xfId="5" applyNumberFormat="1" applyFont="1" applyFill="1" applyBorder="1"/>
    <xf numFmtId="0" fontId="6" fillId="0" borderId="0" xfId="5" applyFont="1" applyFill="1" applyBorder="1"/>
    <xf numFmtId="0" fontId="6" fillId="0" borderId="0" xfId="0" applyFont="1"/>
    <xf numFmtId="44" fontId="6" fillId="0" borderId="0" xfId="5" applyNumberFormat="1" applyFont="1" applyFill="1" applyBorder="1" applyAlignment="1">
      <alignment horizontal="left"/>
    </xf>
    <xf numFmtId="44" fontId="6" fillId="0" borderId="0" xfId="5" applyNumberFormat="1" applyFont="1" applyFill="1" applyBorder="1" applyAlignment="1">
      <alignment horizontal="left" vertical="center"/>
    </xf>
    <xf numFmtId="0" fontId="6" fillId="0" borderId="0" xfId="5" applyFont="1" applyFill="1" applyBorder="1" applyAlignment="1">
      <alignment horizontal="left" vertical="center"/>
    </xf>
    <xf numFmtId="0" fontId="6" fillId="8" borderId="0" xfId="5" applyFont="1" applyFill="1" applyBorder="1"/>
    <xf numFmtId="44" fontId="6" fillId="8" borderId="0" xfId="5" applyNumberFormat="1" applyFont="1" applyFill="1" applyBorder="1" applyAlignment="1">
      <alignment horizontal="left"/>
    </xf>
    <xf numFmtId="0" fontId="6" fillId="8" borderId="0" xfId="0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0" xfId="6" applyFont="1" applyFill="1" applyBorder="1"/>
    <xf numFmtId="44" fontId="0" fillId="7" borderId="0" xfId="6" applyNumberFormat="1" applyFont="1" applyFill="1" applyBorder="1" applyAlignment="1">
      <alignment horizontal="left"/>
    </xf>
    <xf numFmtId="44" fontId="0" fillId="7" borderId="0" xfId="6" applyNumberFormat="1" applyFont="1" applyFill="1" applyBorder="1" applyAlignment="1">
      <alignment horizontal="left" vertical="center"/>
    </xf>
  </cellXfs>
  <cellStyles count="7">
    <cellStyle name="20% - Accent5" xfId="6" builtinId="46"/>
    <cellStyle name="Calculation" xfId="4" builtinId="22"/>
    <cellStyle name="Currency" xfId="1" builtinId="4"/>
    <cellStyle name="Good" xfId="2" builtinId="26"/>
    <cellStyle name="Input" xfId="3" builtinId="20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8B31-D811-4394-BB21-8823134952E8}">
  <dimension ref="A1:I26"/>
  <sheetViews>
    <sheetView tabSelected="1" workbookViewId="0">
      <selection activeCell="D25" sqref="D25"/>
    </sheetView>
  </sheetViews>
  <sheetFormatPr defaultRowHeight="15" x14ac:dyDescent="0.25"/>
  <cols>
    <col min="1" max="1" width="30.140625" customWidth="1"/>
    <col min="2" max="3" width="17.28515625" customWidth="1"/>
    <col min="4" max="4" width="13.85546875" customWidth="1"/>
    <col min="5" max="5" width="18" style="1" customWidth="1"/>
    <col min="7" max="7" width="10.5703125" style="1" bestFit="1" customWidth="1"/>
  </cols>
  <sheetData>
    <row r="1" spans="1:9" s="2" customFormat="1" ht="30" x14ac:dyDescent="0.25">
      <c r="B1" s="2" t="s">
        <v>28</v>
      </c>
      <c r="C1" s="13" t="s">
        <v>29</v>
      </c>
      <c r="E1" s="28"/>
      <c r="G1" s="28"/>
    </row>
    <row r="2" spans="1:9" x14ac:dyDescent="0.25">
      <c r="A2" s="14" t="s">
        <v>0</v>
      </c>
      <c r="B2" s="22">
        <v>400</v>
      </c>
      <c r="C2" s="22">
        <f>B2-D2</f>
        <v>146</v>
      </c>
      <c r="D2" s="22">
        <f>D17+D13</f>
        <v>254</v>
      </c>
      <c r="E2" s="22"/>
      <c r="F2" s="14"/>
      <c r="G2" s="22"/>
      <c r="H2" s="14"/>
      <c r="I2" s="14" t="s">
        <v>4</v>
      </c>
    </row>
    <row r="3" spans="1:9" x14ac:dyDescent="0.25">
      <c r="A3" s="23" t="s">
        <v>1</v>
      </c>
      <c r="B3" s="24">
        <f>(2916+233+191)</f>
        <v>3340</v>
      </c>
      <c r="C3" s="24">
        <f>B3-D3</f>
        <v>264</v>
      </c>
      <c r="D3" s="24">
        <f>D9+D10+D11+D14+D18+D19+D20+D22+D23+D24</f>
        <v>3076</v>
      </c>
      <c r="E3" s="24"/>
      <c r="F3" s="23"/>
      <c r="G3" s="24"/>
      <c r="H3" s="23"/>
      <c r="I3" s="23" t="s">
        <v>3</v>
      </c>
    </row>
    <row r="4" spans="1:9" ht="15.75" thickBot="1" x14ac:dyDescent="0.3">
      <c r="A4" s="4" t="s">
        <v>18</v>
      </c>
      <c r="B4" s="3">
        <f>B2+B3</f>
        <v>3740</v>
      </c>
      <c r="C4" s="3"/>
      <c r="D4" s="1"/>
    </row>
    <row r="5" spans="1:9" ht="16.5" thickTop="1" thickBot="1" x14ac:dyDescent="0.3">
      <c r="A5" s="5" t="s">
        <v>20</v>
      </c>
      <c r="B5" s="6">
        <f>B4-D26</f>
        <v>410</v>
      </c>
      <c r="C5" s="21"/>
      <c r="D5" s="1"/>
    </row>
    <row r="6" spans="1:9" ht="15.75" thickTop="1" x14ac:dyDescent="0.25"/>
    <row r="7" spans="1:9" x14ac:dyDescent="0.25">
      <c r="A7" s="49" t="s">
        <v>9</v>
      </c>
      <c r="B7" s="50"/>
      <c r="C7" s="50"/>
      <c r="D7" s="50"/>
      <c r="E7" s="50"/>
      <c r="F7" s="50"/>
      <c r="G7" s="50"/>
      <c r="H7" s="50"/>
      <c r="I7" s="51"/>
    </row>
    <row r="8" spans="1:9" ht="30" x14ac:dyDescent="0.25">
      <c r="A8" s="2"/>
      <c r="B8" s="2" t="s">
        <v>21</v>
      </c>
      <c r="C8" s="13" t="s">
        <v>24</v>
      </c>
      <c r="D8" s="13" t="s">
        <v>23</v>
      </c>
      <c r="E8" s="2"/>
      <c r="F8" s="2"/>
      <c r="G8" s="2"/>
      <c r="H8" s="2"/>
      <c r="I8" s="2"/>
    </row>
    <row r="9" spans="1:9" s="7" customFormat="1" x14ac:dyDescent="0.25">
      <c r="A9" s="25" t="s">
        <v>2</v>
      </c>
      <c r="B9" s="25"/>
      <c r="C9" s="26">
        <v>200</v>
      </c>
      <c r="D9" s="26">
        <v>200</v>
      </c>
      <c r="E9" s="31" t="s">
        <v>31</v>
      </c>
      <c r="F9" s="32" t="s">
        <v>27</v>
      </c>
      <c r="G9" s="8"/>
      <c r="H9" s="9"/>
    </row>
    <row r="10" spans="1:9" x14ac:dyDescent="0.25">
      <c r="A10" s="23" t="s">
        <v>11</v>
      </c>
      <c r="B10" s="27"/>
      <c r="C10" s="27">
        <v>811</v>
      </c>
      <c r="D10" s="27">
        <v>811</v>
      </c>
      <c r="E10" s="31" t="s">
        <v>31</v>
      </c>
      <c r="F10" s="38" t="s">
        <v>27</v>
      </c>
      <c r="G10" s="8"/>
      <c r="H10" s="9"/>
    </row>
    <row r="11" spans="1:9" x14ac:dyDescent="0.25">
      <c r="A11" s="25" t="s">
        <v>6</v>
      </c>
      <c r="B11" s="30"/>
      <c r="C11" s="30">
        <v>681</v>
      </c>
      <c r="D11" s="30">
        <v>655</v>
      </c>
      <c r="E11" s="31" t="s">
        <v>31</v>
      </c>
      <c r="F11" s="32" t="s">
        <v>27</v>
      </c>
      <c r="G11" s="8"/>
      <c r="H11" s="9"/>
    </row>
    <row r="12" spans="1:9" x14ac:dyDescent="0.25">
      <c r="A12" s="15" t="s">
        <v>12</v>
      </c>
      <c r="B12" s="16"/>
      <c r="C12" s="16">
        <v>0</v>
      </c>
      <c r="D12" s="16">
        <v>0</v>
      </c>
      <c r="E12" s="35"/>
      <c r="F12" s="36"/>
      <c r="G12" s="11"/>
      <c r="H12" s="9"/>
    </row>
    <row r="13" spans="1:9" s="7" customFormat="1" x14ac:dyDescent="0.25">
      <c r="A13" s="52" t="s">
        <v>10</v>
      </c>
      <c r="B13" s="53"/>
      <c r="C13" s="53">
        <v>207</v>
      </c>
      <c r="D13" s="53">
        <v>207</v>
      </c>
      <c r="E13" s="54" t="s">
        <v>32</v>
      </c>
      <c r="F13" s="37" t="s">
        <v>27</v>
      </c>
      <c r="G13" s="8"/>
      <c r="H13" s="9"/>
    </row>
    <row r="14" spans="1:9" x14ac:dyDescent="0.25">
      <c r="A14" s="23" t="s">
        <v>13</v>
      </c>
      <c r="B14" s="27"/>
      <c r="C14" s="27">
        <v>367</v>
      </c>
      <c r="D14" s="27">
        <v>0</v>
      </c>
      <c r="E14" s="31" t="s">
        <v>31</v>
      </c>
      <c r="F14" s="38"/>
      <c r="G14" s="8"/>
      <c r="H14" s="9"/>
    </row>
    <row r="15" spans="1:9" x14ac:dyDescent="0.25">
      <c r="A15" t="s">
        <v>22</v>
      </c>
      <c r="B15" s="17"/>
      <c r="C15" s="17">
        <v>0</v>
      </c>
      <c r="D15" s="17">
        <v>0</v>
      </c>
      <c r="E15" s="33"/>
      <c r="F15" s="34"/>
      <c r="G15" s="8"/>
      <c r="H15" s="9"/>
    </row>
    <row r="16" spans="1:9" x14ac:dyDescent="0.25">
      <c r="A16" t="s">
        <v>26</v>
      </c>
      <c r="B16" s="17"/>
      <c r="C16" s="17">
        <v>0</v>
      </c>
      <c r="D16" s="17">
        <v>0</v>
      </c>
      <c r="E16" s="33"/>
      <c r="F16" s="34"/>
      <c r="G16" s="8"/>
      <c r="H16" s="9"/>
    </row>
    <row r="17" spans="1:8" x14ac:dyDescent="0.25">
      <c r="A17" s="14" t="s">
        <v>5</v>
      </c>
      <c r="B17" s="29"/>
      <c r="C17" s="29">
        <v>47</v>
      </c>
      <c r="D17" s="29">
        <v>47</v>
      </c>
      <c r="E17" s="39" t="s">
        <v>30</v>
      </c>
      <c r="F17" s="37" t="s">
        <v>27</v>
      </c>
      <c r="G17" s="10"/>
      <c r="H17" s="9"/>
    </row>
    <row r="18" spans="1:8" x14ac:dyDescent="0.25">
      <c r="A18" s="23" t="s">
        <v>25</v>
      </c>
      <c r="B18" s="27"/>
      <c r="C18" s="27">
        <v>108</v>
      </c>
      <c r="D18" s="27">
        <v>108</v>
      </c>
      <c r="E18" s="31" t="s">
        <v>31</v>
      </c>
      <c r="F18" s="38" t="s">
        <v>27</v>
      </c>
      <c r="G18" s="10"/>
      <c r="H18" s="9"/>
    </row>
    <row r="19" spans="1:8" x14ac:dyDescent="0.25">
      <c r="A19" s="23" t="s">
        <v>7</v>
      </c>
      <c r="B19" s="23"/>
      <c r="C19" s="23">
        <v>117.95</v>
      </c>
      <c r="D19" s="24">
        <v>30</v>
      </c>
      <c r="E19" s="31" t="s">
        <v>31</v>
      </c>
      <c r="F19" s="23" t="s">
        <v>27</v>
      </c>
      <c r="G19" s="11"/>
      <c r="H19" s="9"/>
    </row>
    <row r="20" spans="1:8" s="42" customFormat="1" x14ac:dyDescent="0.25">
      <c r="A20" s="46" t="s">
        <v>14</v>
      </c>
      <c r="B20" s="47"/>
      <c r="C20" s="47">
        <v>1089</v>
      </c>
      <c r="D20" s="47">
        <v>1065</v>
      </c>
      <c r="E20" s="31" t="s">
        <v>31</v>
      </c>
      <c r="F20" s="48" t="s">
        <v>27</v>
      </c>
      <c r="G20" s="40"/>
      <c r="H20" s="41"/>
    </row>
    <row r="21" spans="1:8" s="42" customFormat="1" x14ac:dyDescent="0.25">
      <c r="A21" s="41" t="s">
        <v>8</v>
      </c>
      <c r="B21" s="43"/>
      <c r="C21" s="43">
        <v>0</v>
      </c>
      <c r="D21" s="43"/>
      <c r="E21" s="44"/>
      <c r="F21" s="45"/>
      <c r="G21" s="40"/>
      <c r="H21" s="41"/>
    </row>
    <row r="22" spans="1:8" x14ac:dyDescent="0.25">
      <c r="A22" s="23" t="s">
        <v>15</v>
      </c>
      <c r="B22" s="27"/>
      <c r="C22" s="27">
        <v>0</v>
      </c>
      <c r="D22" s="47">
        <v>83</v>
      </c>
      <c r="E22" s="31" t="s">
        <v>31</v>
      </c>
      <c r="F22" s="38" t="s">
        <v>27</v>
      </c>
      <c r="G22" s="10"/>
      <c r="H22" s="9"/>
    </row>
    <row r="23" spans="1:8" x14ac:dyDescent="0.25">
      <c r="A23" s="23" t="s">
        <v>16</v>
      </c>
      <c r="B23" s="27"/>
      <c r="C23" s="27">
        <v>0</v>
      </c>
      <c r="D23" s="47">
        <v>97</v>
      </c>
      <c r="E23" s="31" t="s">
        <v>31</v>
      </c>
      <c r="F23" s="38" t="s">
        <v>27</v>
      </c>
      <c r="G23" s="8"/>
      <c r="H23" s="9"/>
    </row>
    <row r="24" spans="1:8" x14ac:dyDescent="0.25">
      <c r="A24" s="23" t="s">
        <v>17</v>
      </c>
      <c r="B24" s="27"/>
      <c r="C24" s="27">
        <v>0</v>
      </c>
      <c r="D24" s="47">
        <v>27</v>
      </c>
      <c r="E24" s="31" t="s">
        <v>31</v>
      </c>
      <c r="F24" s="38" t="s">
        <v>27</v>
      </c>
      <c r="G24" s="8"/>
      <c r="H24" s="9"/>
    </row>
    <row r="25" spans="1:8" x14ac:dyDescent="0.25">
      <c r="E25" s="12"/>
      <c r="G25" s="8"/>
      <c r="H25" s="9"/>
    </row>
    <row r="26" spans="1:8" x14ac:dyDescent="0.25">
      <c r="A26" s="18" t="s">
        <v>19</v>
      </c>
      <c r="B26" s="19"/>
      <c r="C26" s="19"/>
      <c r="D26" s="20">
        <f>SUM(D9:D24)</f>
        <v>3330</v>
      </c>
      <c r="G26" s="8"/>
      <c r="H26" s="9"/>
    </row>
  </sheetData>
  <mergeCells count="1">
    <mergeCell ref="A7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Pethum Weerasekara</dc:creator>
  <cp:lastModifiedBy>Pethum Weerasekara</cp:lastModifiedBy>
  <dcterms:created xsi:type="dcterms:W3CDTF">2026-01-01T19:05:15Z</dcterms:created>
  <dcterms:modified xsi:type="dcterms:W3CDTF">2026-06-02T00:56:06Z</dcterms:modified>
</cp:coreProperties>
</file>